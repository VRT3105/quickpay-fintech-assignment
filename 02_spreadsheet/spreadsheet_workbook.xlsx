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\OneDrive\Desktop\quickpay-fintech-assignment\02_spreadsheet\"/>
    </mc:Choice>
  </mc:AlternateContent>
  <xr:revisionPtr revIDLastSave="0" documentId="8_{470B3460-82C3-4A93-9FE6-4EF25240D06E}" xr6:coauthVersionLast="47" xr6:coauthVersionMax="47" xr10:uidLastSave="{00000000-0000-0000-0000-000000000000}"/>
  <bookViews>
    <workbookView xWindow="-108" yWindow="-108" windowWidth="23256" windowHeight="12456" activeTab="1" xr2:uid="{683AF62D-A1FD-406B-BCA0-352DFB699F4C}"/>
  </bookViews>
  <sheets>
    <sheet name="merchant_risk_summary" sheetId="7" r:id="rId1"/>
    <sheet name="cleaned_transactions" sheetId="2" r:id="rId2"/>
    <sheet name="Exchange_Rates" sheetId="3" r:id="rId3"/>
    <sheet name="Merchant_Master" sheetId="4" r:id="rId4"/>
    <sheet name="Raw_Data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" i="2" l="1"/>
  <c r="O31" i="2"/>
  <c r="N31" i="2" a="1"/>
  <c r="N31" i="2" s="1"/>
  <c r="S31" i="2" s="1"/>
  <c r="M31" i="2"/>
  <c r="L31" i="2"/>
  <c r="K31" i="2"/>
  <c r="Q31" i="2" s="1"/>
  <c r="P30" i="2"/>
  <c r="O30" i="2"/>
  <c r="R30" i="2" s="1"/>
  <c r="N30" i="2" a="1"/>
  <c r="N30" i="2" s="1"/>
  <c r="S30" i="2" s="1"/>
  <c r="M30" i="2"/>
  <c r="L30" i="2"/>
  <c r="K30" i="2"/>
  <c r="Q30" i="2" s="1"/>
  <c r="P29" i="2"/>
  <c r="O29" i="2"/>
  <c r="N29" i="2" a="1"/>
  <c r="N29" i="2" s="1"/>
  <c r="S29" i="2" s="1"/>
  <c r="M29" i="2"/>
  <c r="L29" i="2"/>
  <c r="K29" i="2"/>
  <c r="Q29" i="2" s="1"/>
  <c r="P28" i="2"/>
  <c r="O28" i="2"/>
  <c r="R28" i="2" s="1"/>
  <c r="N28" i="2" a="1"/>
  <c r="N28" i="2" s="1"/>
  <c r="S28" i="2" s="1"/>
  <c r="M28" i="2"/>
  <c r="L28" i="2"/>
  <c r="K28" i="2"/>
  <c r="Q28" i="2" s="1"/>
  <c r="P27" i="2"/>
  <c r="O27" i="2"/>
  <c r="R27" i="2" s="1"/>
  <c r="N27" i="2" a="1"/>
  <c r="N27" i="2" s="1"/>
  <c r="S27" i="2" s="1"/>
  <c r="M27" i="2"/>
  <c r="L27" i="2"/>
  <c r="K27" i="2"/>
  <c r="Q27" i="2" s="1"/>
  <c r="P26" i="2"/>
  <c r="O26" i="2"/>
  <c r="R26" i="2" s="1"/>
  <c r="N26" i="2" a="1"/>
  <c r="N26" i="2" s="1"/>
  <c r="S26" i="2" s="1"/>
  <c r="M26" i="2"/>
  <c r="L26" i="2"/>
  <c r="K26" i="2"/>
  <c r="Q26" i="2" s="1"/>
  <c r="P25" i="2"/>
  <c r="O25" i="2"/>
  <c r="R25" i="2" s="1"/>
  <c r="N25" i="2" a="1"/>
  <c r="N25" i="2" s="1"/>
  <c r="S25" i="2" s="1"/>
  <c r="M25" i="2"/>
  <c r="L25" i="2"/>
  <c r="K25" i="2"/>
  <c r="Q25" i="2" s="1"/>
  <c r="P24" i="2"/>
  <c r="O24" i="2"/>
  <c r="R24" i="2" s="1"/>
  <c r="N24" i="2" a="1"/>
  <c r="N24" i="2" s="1"/>
  <c r="S24" i="2" s="1"/>
  <c r="M24" i="2"/>
  <c r="L24" i="2"/>
  <c r="K24" i="2"/>
  <c r="Q24" i="2" s="1"/>
  <c r="P23" i="2"/>
  <c r="O23" i="2"/>
  <c r="R23" i="2" s="1"/>
  <c r="N23" i="2" a="1"/>
  <c r="N23" i="2" s="1"/>
  <c r="S23" i="2" s="1"/>
  <c r="M23" i="2"/>
  <c r="L23" i="2"/>
  <c r="K23" i="2"/>
  <c r="Q23" i="2" s="1"/>
  <c r="P22" i="2"/>
  <c r="O22" i="2"/>
  <c r="R22" i="2" s="1"/>
  <c r="N22" i="2" a="1"/>
  <c r="N22" i="2" s="1"/>
  <c r="S22" i="2" s="1"/>
  <c r="M22" i="2"/>
  <c r="L22" i="2"/>
  <c r="K22" i="2"/>
  <c r="Q22" i="2" s="1"/>
  <c r="P21" i="2"/>
  <c r="O21" i="2"/>
  <c r="R21" i="2" s="1"/>
  <c r="N21" i="2" a="1"/>
  <c r="N21" i="2" s="1"/>
  <c r="S21" i="2" s="1"/>
  <c r="M21" i="2"/>
  <c r="L21" i="2"/>
  <c r="K21" i="2"/>
  <c r="Q21" i="2" s="1"/>
  <c r="P20" i="2"/>
  <c r="O20" i="2"/>
  <c r="R20" i="2" s="1"/>
  <c r="N20" i="2" a="1"/>
  <c r="N20" i="2" s="1"/>
  <c r="S20" i="2" s="1"/>
  <c r="M20" i="2"/>
  <c r="L20" i="2"/>
  <c r="K20" i="2"/>
  <c r="Q20" i="2" s="1"/>
  <c r="P19" i="2"/>
  <c r="O19" i="2"/>
  <c r="R19" i="2" s="1"/>
  <c r="N19" i="2" a="1"/>
  <c r="N19" i="2" s="1"/>
  <c r="S19" i="2" s="1"/>
  <c r="M19" i="2"/>
  <c r="L19" i="2"/>
  <c r="K19" i="2"/>
  <c r="Q19" i="2" s="1"/>
  <c r="P18" i="2"/>
  <c r="O18" i="2"/>
  <c r="R18" i="2" s="1"/>
  <c r="N18" i="2" a="1"/>
  <c r="N18" i="2" s="1"/>
  <c r="S18" i="2" s="1"/>
  <c r="M18" i="2"/>
  <c r="L18" i="2"/>
  <c r="K18" i="2"/>
  <c r="Q18" i="2" s="1"/>
  <c r="P17" i="2"/>
  <c r="O17" i="2"/>
  <c r="R17" i="2" s="1"/>
  <c r="N17" i="2" a="1"/>
  <c r="N17" i="2" s="1"/>
  <c r="S17" i="2" s="1"/>
  <c r="M17" i="2"/>
  <c r="L17" i="2"/>
  <c r="K17" i="2"/>
  <c r="Q17" i="2" s="1"/>
  <c r="P16" i="2"/>
  <c r="O16" i="2"/>
  <c r="N16" i="2" a="1"/>
  <c r="N16" i="2" s="1"/>
  <c r="S16" i="2" s="1"/>
  <c r="M16" i="2"/>
  <c r="L16" i="2"/>
  <c r="K16" i="2"/>
  <c r="Q16" i="2" s="1"/>
  <c r="P15" i="2"/>
  <c r="O15" i="2"/>
  <c r="N15" i="2" a="1"/>
  <c r="N15" i="2" s="1"/>
  <c r="S15" i="2" s="1"/>
  <c r="M15" i="2"/>
  <c r="L15" i="2"/>
  <c r="K15" i="2"/>
  <c r="Q15" i="2" s="1"/>
  <c r="P14" i="2"/>
  <c r="O14" i="2"/>
  <c r="R14" i="2" s="1"/>
  <c r="N14" i="2" a="1"/>
  <c r="N14" i="2" s="1"/>
  <c r="S14" i="2" s="1"/>
  <c r="M14" i="2"/>
  <c r="L14" i="2"/>
  <c r="K14" i="2"/>
  <c r="Q14" i="2" s="1"/>
  <c r="P13" i="2"/>
  <c r="O13" i="2"/>
  <c r="R13" i="2" s="1"/>
  <c r="N13" i="2" a="1"/>
  <c r="N13" i="2" s="1"/>
  <c r="S13" i="2" s="1"/>
  <c r="M13" i="2"/>
  <c r="L13" i="2"/>
  <c r="K13" i="2"/>
  <c r="Q13" i="2" s="1"/>
  <c r="P12" i="2"/>
  <c r="O12" i="2"/>
  <c r="R12" i="2" s="1"/>
  <c r="N12" i="2" a="1"/>
  <c r="N12" i="2" s="1"/>
  <c r="S12" i="2" s="1"/>
  <c r="M12" i="2"/>
  <c r="L12" i="2"/>
  <c r="K12" i="2"/>
  <c r="Q12" i="2" s="1"/>
  <c r="P11" i="2"/>
  <c r="O11" i="2"/>
  <c r="N11" i="2" a="1"/>
  <c r="N11" i="2" s="1"/>
  <c r="S11" i="2" s="1"/>
  <c r="M11" i="2"/>
  <c r="L11" i="2"/>
  <c r="K11" i="2"/>
  <c r="Q11" i="2" s="1"/>
  <c r="P10" i="2"/>
  <c r="O10" i="2"/>
  <c r="R10" i="2" s="1"/>
  <c r="N10" i="2" a="1"/>
  <c r="N10" i="2" s="1"/>
  <c r="S10" i="2" s="1"/>
  <c r="M10" i="2"/>
  <c r="L10" i="2"/>
  <c r="K10" i="2"/>
  <c r="Q10" i="2" s="1"/>
  <c r="P9" i="2"/>
  <c r="O9" i="2"/>
  <c r="R9" i="2" s="1"/>
  <c r="N9" i="2" a="1"/>
  <c r="N9" i="2" s="1"/>
  <c r="S9" i="2" s="1"/>
  <c r="M9" i="2"/>
  <c r="L9" i="2"/>
  <c r="K9" i="2"/>
  <c r="Q9" i="2" s="1"/>
  <c r="P8" i="2"/>
  <c r="O8" i="2"/>
  <c r="N8" i="2" a="1"/>
  <c r="N8" i="2" s="1"/>
  <c r="S8" i="2" s="1"/>
  <c r="M8" i="2"/>
  <c r="L8" i="2"/>
  <c r="K8" i="2"/>
  <c r="Q8" i="2" s="1"/>
  <c r="P7" i="2"/>
  <c r="O7" i="2"/>
  <c r="N7" i="2" a="1"/>
  <c r="N7" i="2" s="1"/>
  <c r="S7" i="2" s="1"/>
  <c r="M7" i="2"/>
  <c r="L7" i="2"/>
  <c r="K7" i="2"/>
  <c r="Q7" i="2" s="1"/>
  <c r="P6" i="2"/>
  <c r="O6" i="2"/>
  <c r="R6" i="2" s="1"/>
  <c r="N6" i="2" a="1"/>
  <c r="N6" i="2" s="1"/>
  <c r="S6" i="2" s="1"/>
  <c r="M6" i="2"/>
  <c r="L6" i="2"/>
  <c r="K6" i="2"/>
  <c r="Q6" i="2" s="1"/>
  <c r="P5" i="2"/>
  <c r="O5" i="2"/>
  <c r="N5" i="2" a="1"/>
  <c r="N5" i="2" s="1"/>
  <c r="S5" i="2" s="1"/>
  <c r="M5" i="2"/>
  <c r="L5" i="2"/>
  <c r="K5" i="2"/>
  <c r="Q5" i="2" s="1"/>
  <c r="P4" i="2"/>
  <c r="O4" i="2"/>
  <c r="R4" i="2" s="1"/>
  <c r="N4" i="2" a="1"/>
  <c r="N4" i="2" s="1"/>
  <c r="S4" i="2" s="1"/>
  <c r="M4" i="2"/>
  <c r="L4" i="2"/>
  <c r="K4" i="2"/>
  <c r="Q4" i="2" s="1"/>
  <c r="P3" i="2"/>
  <c r="O3" i="2"/>
  <c r="R3" i="2" s="1"/>
  <c r="N3" i="2" a="1"/>
  <c r="N3" i="2" s="1"/>
  <c r="S3" i="2" s="1"/>
  <c r="M3" i="2"/>
  <c r="L3" i="2"/>
  <c r="K3" i="2"/>
  <c r="Q3" i="2" s="1"/>
  <c r="P2" i="2"/>
  <c r="M2" i="2"/>
  <c r="O2" i="2"/>
  <c r="R2" i="2" s="1"/>
  <c r="N2" i="2" a="1"/>
  <c r="N2" i="2" s="1"/>
  <c r="S2" i="2" s="1"/>
  <c r="L2" i="2"/>
  <c r="K2" i="2"/>
  <c r="Q2" i="2" s="1"/>
  <c r="R31" i="2" l="1"/>
  <c r="R16" i="2"/>
  <c r="R29" i="2"/>
  <c r="R11" i="2"/>
  <c r="R7" i="2"/>
  <c r="R15" i="2"/>
  <c r="R8" i="2"/>
  <c r="R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<sst xmlns="http://schemas.openxmlformats.org/spreadsheetml/2006/main" count="525" uniqueCount="138">
  <si>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</si>
  <si>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</si>
  <si>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</si>
  <si>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</si>
  <si>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</si>
  <si>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</si>
  <si>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</si>
  <si>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</si>
  <si>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</si>
  <si>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</si>
  <si>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</si>
  <si>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</si>
  <si>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</si>
  <si>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</si>
  <si>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</si>
  <si>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</si>
  <si>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</si>
  <si>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</si>
  <si>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</si>
  <si>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</si>
  <si>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</si>
  <si>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</si>
  <si>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</si>
  <si>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</si>
  <si>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</si>
  <si>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</si>
  <si>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</si>
  <si>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</si>
  <si>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</si>
  <si>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</si>
  <si>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</si>
  <si>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</si>
  <si>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</si>
  <si>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</si>
  <si>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</si>
  <si>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</si>
  <si>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</si>
  <si>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</si>
  <si>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</si>
  <si>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</si>
  <si>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</si>
  <si>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</si>
  <si>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</si>
  <si>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</si>
  <si>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</si>
  <si>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</si>
  <si>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</si>
  <si>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</si>
  <si>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</si>
  <si>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</si>
  <si>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</si>
  <si>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</si>
  <si>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</si>
  <si>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</si>
  <si>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</si>
  <si>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</si>
  <si>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</si>
  <si>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</si>
  <si>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</si>
  <si>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</si>
  <si>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</si>
  <si>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</si>
  <si>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</si>
  <si>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</si>
  <si>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</si>
  <si>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</si>
  <si>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</si>
  <si>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</si>
  <si>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</si>
  <si>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</si>
  <si>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</si>
  <si>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</si>
  <si>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</si>
  <si>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</si>
  <si>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</si>
  <si>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</si>
  <si>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</si>
  <si>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</si>
  <si>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</si>
  <si>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</si>
  <si>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</si>
  <si>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</si>
  <si>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</si>
  <si>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</si>
  <si>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</si>
  <si>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</si>
  <si>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</si>
  <si>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</si>
  <si>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</si>
  <si>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</si>
  <si>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</si>
  <si>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</si>
  <si>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</si>
  <si>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</si>
  <si>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</si>
  <si>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</si>
  <si>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</si>
  <si>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</si>
  <si>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</si>
  <si>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</si>
  <si>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</si>
  <si>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</si>
  <si>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</si>
  <si>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</si>
  <si>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</si>
  <si>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usd_rate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</si>
  <si>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</si>
  <si>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</si>
  <si>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</si>
  <si>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</si>
  <si>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</si>
  <si>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</si>
  <si>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</si>
  <si>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</si>
  <si>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</si>
  <si>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</si>
  <si>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</si>
  <si>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</si>
  <si>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</si>
  <si>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</si>
  <si>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</si>
  <si>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</si>
  <si>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</si>
  <si>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</si>
  <si>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</si>
  <si>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clean_merchant</t>
  </si>
  <si>
    <t>clean_date</t>
  </si>
  <si>
    <t>clean_status</t>
  </si>
  <si>
    <t>clean_risk_score</t>
  </si>
  <si>
    <t>clean_region</t>
  </si>
  <si>
    <t>amount_usd</t>
  </si>
  <si>
    <t>high_value_flag</t>
  </si>
  <si>
    <t>high_risk_flag</t>
  </si>
  <si>
    <t>Row Labels</t>
  </si>
  <si>
    <t>Grand Total</t>
  </si>
  <si>
    <t>Sum of amount_usd</t>
  </si>
  <si>
    <t>Count of transaction_id</t>
  </si>
  <si>
    <t>Sum of high_risk_flag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</si>
</sst>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eaned_transaction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" refreshedDate="46139.480941319445" createdVersion="8" refreshedVersion="8" minRefreshableVersion="3" recordCount="30" xr:uid="{448EF87D-25DA-4CEA-B0F1-839BCB9237F2}">
  <cacheSource type="worksheet">
    <worksheetSource ref="A1:S31" sheet="cleaned_transactions" r:id="rId2"/>
  </cacheSource>
  <cacheFields count="19">
    <cacheField name="transaction_id" numFmtId="0">
      <sharedItems count="30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</sharedItems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/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/>
    </cacheField>
    <cacheField name="risk_score" numFmtId="0">
      <sharedItems containsBlank="1" containsMixedTypes="1" containsNumber="1" containsInteger="1" minValue="38" maxValue="75"/>
    </cacheField>
    <cacheField name="gateway_region" numFmtId="0">
      <sharedItems containsBlank="1"/>
    </cacheField>
    <cacheField name="user_id" numFmtId="0">
      <sharedItems/>
    </cacheField>
    <cacheField name="payment_method" numFmtId="0">
      <sharedItems/>
    </cacheField>
    <cacheField name="clean_merchant" numFmtId="0">
      <sharedItems count="5">
        <s v="Alpha Mart"/>
        <s v="Beta Stores"/>
        <s v="City Pharma"/>
        <s v="Eco Home"/>
        <s v="Delta Travels"/>
      </sharedItems>
    </cacheField>
    <cacheField name="clean_date" numFmtId="0">
      <sharedItems/>
    </cacheField>
    <cacheField name="clean_status" numFmtId="0">
      <sharedItems/>
    </cacheField>
    <cacheField name="clean_risk_score" numFmtId="0">
      <sharedItems containsMixedTypes="1" containsNumber="1" containsInteger="1" minValue="38" maxValue="86"/>
    </cacheField>
    <cacheField name="clean_region" numFmtId="0">
      <sharedItems/>
    </cacheField>
    <cacheField name="amount_usd" numFmtId="0">
      <sharedItems containsSemiMixedTypes="0" containsString="0" containsNumber="1" minValue="1800" maxValue="51260504.200000003"/>
    </cacheField>
    <cacheField name="merchant_category" numFmtId="0">
      <sharedItems/>
    </cacheField>
    <cacheField name="high_value_flag" numFmtId="0">
      <sharedItems containsSemiMixedTypes="0" containsString="0" containsNumber="1" containsInteger="1" minValue="0" maxValue="1"/>
    </cacheField>
    <cacheField name="high_risk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d v="2026-03-01T00:00:00"/>
    <s v=" alpha mart "/>
    <n v="420000"/>
    <s v="INR"/>
    <s v="captured"/>
    <s v="score:62"/>
    <s v="APAC"/>
    <s v="U001"/>
    <s v="UPI"/>
    <x v="0"/>
    <s v="2026-03-01"/>
    <s v="captured"/>
    <n v="62"/>
    <s v="APAC"/>
    <n v="35294117.649999999"/>
    <s v="Unknown"/>
    <n v="1"/>
    <n v="0"/>
  </r>
  <r>
    <x v="1"/>
    <d v="2026-03-01T00:00:00"/>
    <s v="ALPHA MART"/>
    <n v="210000"/>
    <s v="INR"/>
    <s v="Captured "/>
    <n v="55"/>
    <m/>
    <s v="U002"/>
    <s v="Card"/>
    <x v="0"/>
    <s v="2026-03-01"/>
    <s v="captured"/>
    <n v="55"/>
    <s v=""/>
    <n v="17647058.82"/>
    <s v="Unknown"/>
    <n v="0"/>
    <n v="0"/>
  </r>
  <r>
    <x v="2"/>
    <d v="2026-03-01T00:00:00"/>
    <s v="BETA STORES "/>
    <n v="510000"/>
    <s v="INR"/>
    <s v=" CAPTURED"/>
    <n v="71"/>
    <s v=" APAC "/>
    <s v="U003"/>
    <s v="NetBanking"/>
    <x v="1"/>
    <s v="2026-03-01"/>
    <s v="captured"/>
    <n v="71"/>
    <s v="APAC"/>
    <n v="42857142.859999999"/>
    <s v="Unknown"/>
    <n v="1"/>
    <n v="1"/>
  </r>
  <r>
    <x v="3"/>
    <d v="2026-03-02T00:00:00"/>
    <s v="Beta  Stores"/>
    <n v="160000"/>
    <s v="INR"/>
    <s v=" failed e05 timeout "/>
    <n v="68"/>
    <s v="APAC"/>
    <s v="U004"/>
    <s v="Card"/>
    <x v="1"/>
    <s v="2026-03-02"/>
    <s v="failed_timeout"/>
    <n v="68"/>
    <s v="APAC"/>
    <n v="13445378.15"/>
    <s v="Unknown"/>
    <n v="1"/>
    <n v="0"/>
  </r>
  <r>
    <x v="4"/>
    <d v="2026-03-02T00:00:00"/>
    <s v="ALPHA MART"/>
    <n v="390000"/>
    <s v="INR"/>
    <s v=" CAPTURED"/>
    <n v="58"/>
    <m/>
    <s v="U001"/>
    <s v="UPI"/>
    <x v="0"/>
    <s v="2026-03-02"/>
    <s v="captured"/>
    <n v="58"/>
    <s v=""/>
    <n v="32773109.239999998"/>
    <s v="Unknown"/>
    <n v="0"/>
    <n v="0"/>
  </r>
  <r>
    <x v="5"/>
    <d v="2026-03-02T00:00:00"/>
    <s v="Beta  Stores"/>
    <n v="275000"/>
    <s v="INR"/>
    <s v="Captured "/>
    <s v="score:64"/>
    <m/>
    <s v="U005"/>
    <s v="Wallet"/>
    <x v="1"/>
    <s v="2026-03-02"/>
    <s v="captured"/>
    <n v="64"/>
    <s v=""/>
    <n v="23109243.699999999"/>
    <s v="Unknown"/>
    <n v="0"/>
    <n v="0"/>
  </r>
  <r>
    <x v="6"/>
    <d v="2026-03-02T00:00:00"/>
    <s v="Alpha  Mart"/>
    <n v="450000"/>
    <s v="INR"/>
    <s v="chargeback"/>
    <s v="risk-83"/>
    <s v=" APAC "/>
    <s v="U006"/>
    <s v="Card"/>
    <x v="0"/>
    <s v="2026-03-02"/>
    <s v="chargeback"/>
    <n v="83"/>
    <s v="APAC"/>
    <n v="37815126.049999997"/>
    <s v="Unknown"/>
    <n v="1"/>
    <n v="1"/>
  </r>
  <r>
    <x v="7"/>
    <d v="2026-03-03T00:00:00"/>
    <s v="BETA STORES "/>
    <n v="340000"/>
    <s v="INR"/>
    <s v="Captured "/>
    <n v="59"/>
    <m/>
    <s v="U007"/>
    <s v="UPI"/>
    <x v="1"/>
    <s v="2026-03-03"/>
    <s v="captured"/>
    <n v="59"/>
    <s v=""/>
    <n v="28571428.57"/>
    <s v="Unknown"/>
    <n v="0"/>
    <n v="0"/>
  </r>
  <r>
    <x v="8"/>
    <d v="2026-03-03T00:00:00"/>
    <s v="ALPHA MART"/>
    <n v="125000"/>
    <s v="INR"/>
    <s v="captured"/>
    <n v="46"/>
    <s v="APAC"/>
    <s v="U002"/>
    <s v="Wallet"/>
    <x v="0"/>
    <s v="2026-03-03"/>
    <s v="captured"/>
    <n v="46"/>
    <s v="APAC"/>
    <n v="10504201.68"/>
    <s v="Unknown"/>
    <n v="1"/>
    <n v="0"/>
  </r>
  <r>
    <x v="9"/>
    <d v="2026-03-03T00:00:00"/>
    <s v="Beta Stores"/>
    <n v="610000"/>
    <s v="INR"/>
    <s v="captured"/>
    <s v="risk-77"/>
    <m/>
    <s v="U003"/>
    <s v="Card"/>
    <x v="1"/>
    <s v="2026-03-03"/>
    <s v="captured"/>
    <n v="77"/>
    <s v=""/>
    <n v="51260504.200000003"/>
    <s v="Unknown"/>
    <n v="0"/>
    <n v="1"/>
  </r>
  <r>
    <x v="10"/>
    <d v="2026-03-03T00:00:00"/>
    <s v="Alpha  Mart"/>
    <n v="195000"/>
    <s v="INR"/>
    <s v="FAILED e05 TIMEOUT"/>
    <m/>
    <m/>
    <s v="U008"/>
    <s v="UPI"/>
    <x v="0"/>
    <s v="2026-03-03"/>
    <s v="failed_timeout"/>
    <s v=""/>
    <s v=""/>
    <n v="16386554.619999999"/>
    <s v="Unknown"/>
    <n v="0"/>
    <n v="1"/>
  </r>
  <r>
    <x v="11"/>
    <d v="2026-03-04T00:00:00"/>
    <s v="Beta  Stores"/>
    <n v="250000"/>
    <s v="INR"/>
    <s v="Captured "/>
    <s v="risk-61"/>
    <s v=" APAC "/>
    <s v="U009"/>
    <s v="Card"/>
    <x v="1"/>
    <s v="2026-03-04"/>
    <s v="captured"/>
    <n v="61"/>
    <s v="APAC"/>
    <n v="21008403.359999999"/>
    <s v="Unknown"/>
    <n v="1"/>
    <n v="0"/>
  </r>
  <r>
    <x v="12"/>
    <d v="2026-03-04T00:00:00"/>
    <s v=" alpha mart "/>
    <n v="310000"/>
    <s v="INR"/>
    <s v="Captured "/>
    <s v="score:54"/>
    <s v="APAC"/>
    <s v="U010"/>
    <s v="UPI"/>
    <x v="0"/>
    <s v="2026-03-04"/>
    <s v="captured"/>
    <n v="54"/>
    <s v="APAC"/>
    <n v="26050420.170000002"/>
    <s v="Unknown"/>
    <n v="1"/>
    <n v="0"/>
  </r>
  <r>
    <x v="13"/>
    <d v="2026-03-04T00:00:00"/>
    <s v="Beta  Stores"/>
    <n v="470000"/>
    <s v="INR"/>
    <s v="Captured "/>
    <s v="risk-73"/>
    <s v="APAC"/>
    <s v="U001"/>
    <s v="NetBanking"/>
    <x v="1"/>
    <s v="2026-03-04"/>
    <s v="captured"/>
    <n v="73"/>
    <s v="APAC"/>
    <n v="39495798.32"/>
    <s v="Unknown"/>
    <n v="1"/>
    <n v="1"/>
  </r>
  <r>
    <x v="14"/>
    <d v="2026-03-04T00:00:00"/>
    <s v="ALPHA MART"/>
    <n v="130000"/>
    <s v="INR"/>
    <s v="captured"/>
    <s v="score:52"/>
    <m/>
    <s v="U002"/>
    <s v="Card"/>
    <x v="0"/>
    <s v="2026-03-04"/>
    <s v="captured"/>
    <n v="52"/>
    <s v=""/>
    <n v="10924369.75"/>
    <s v="Unknown"/>
    <n v="0"/>
    <n v="0"/>
  </r>
  <r>
    <x v="15"/>
    <d v="2026-03-05T00:00:00"/>
    <s v="Beta  Stores"/>
    <n v="220000"/>
    <s v="INR"/>
    <s v="FAILED e05 TIMEOUT"/>
    <s v="risk-69"/>
    <m/>
    <s v="U008"/>
    <s v="Card"/>
    <x v="1"/>
    <s v="2026-03-05"/>
    <s v="failed_timeout"/>
    <n v="69"/>
    <s v=""/>
    <n v="18487394.960000001"/>
    <s v="Unknown"/>
    <n v="0"/>
    <n v="0"/>
  </r>
  <r>
    <x v="16"/>
    <d v="2026-03-05T00:00:00"/>
    <s v="Beta  Stores"/>
    <n v="180000"/>
    <s v="INR"/>
    <s v="FAILED e05 TIMEOUT"/>
    <s v="score:72"/>
    <s v="APAC"/>
    <s v="U008"/>
    <s v="Card"/>
    <x v="1"/>
    <s v="2026-03-05"/>
    <s v="failed_timeout"/>
    <n v="72"/>
    <s v="APAC"/>
    <n v="15126050.42"/>
    <s v="Unknown"/>
    <n v="1"/>
    <n v="1"/>
  </r>
  <r>
    <x v="17"/>
    <d v="2026-03-05T00:00:00"/>
    <s v="BETA STORES "/>
    <n v="145000"/>
    <s v="INR"/>
    <s v=" chargeback "/>
    <s v="risk-86"/>
    <s v=" APAC "/>
    <s v="U008"/>
    <s v="UPI"/>
    <x v="1"/>
    <s v="2026-03-05"/>
    <s v="chargeback"/>
    <n v="86"/>
    <s v="APAC"/>
    <n v="12184873.949999999"/>
    <s v="Unknown"/>
    <n v="1"/>
    <n v="1"/>
  </r>
  <r>
    <x v="18"/>
    <d v="2026-03-05T00:00:00"/>
    <s v="Alpha  Mart"/>
    <n v="260000"/>
    <s v="INR"/>
    <s v="FAILED e05 TIMEOUT"/>
    <s v="score:67"/>
    <s v="APAC"/>
    <s v="U008"/>
    <s v="Wallet"/>
    <x v="0"/>
    <s v="2026-03-05"/>
    <s v="failed_timeout"/>
    <n v="67"/>
    <s v="APAC"/>
    <n v="21848739.5"/>
    <s v="Unknown"/>
    <n v="1"/>
    <n v="0"/>
  </r>
  <r>
    <x v="19"/>
    <d v="2026-03-05T00:00:00"/>
    <s v="ALPHA MART"/>
    <n v="520000"/>
    <s v="INR"/>
    <s v="Captured "/>
    <n v="75"/>
    <s v="APAC"/>
    <s v="U005"/>
    <s v="UPI"/>
    <x v="0"/>
    <s v="2026-03-05"/>
    <s v="captured"/>
    <n v="75"/>
    <s v="APAC"/>
    <n v="43697478.990000002"/>
    <s v="Unknown"/>
    <n v="1"/>
    <n v="1"/>
  </r>
  <r>
    <x v="20"/>
    <d v="2026-03-06T00:00:00"/>
    <s v=" beta stores"/>
    <n v="330000"/>
    <s v="INR"/>
    <s v="Captured "/>
    <s v="score:63"/>
    <m/>
    <s v="U006"/>
    <s v="Card"/>
    <x v="1"/>
    <s v="2026-03-06"/>
    <s v="captured"/>
    <n v="63"/>
    <s v=""/>
    <n v="27731092.440000001"/>
    <s v="Unknown"/>
    <n v="0"/>
    <n v="0"/>
  </r>
  <r>
    <x v="21"/>
    <d v="2026-03-06T00:00:00"/>
    <s v="ALPHA MART"/>
    <n v="410000"/>
    <s v="INR"/>
    <s v="Captured "/>
    <n v="60"/>
    <s v="APAC"/>
    <s v="U007"/>
    <s v="UPI"/>
    <x v="0"/>
    <s v="2026-03-06"/>
    <s v="captured"/>
    <n v="60"/>
    <s v="APAC"/>
    <n v="34453781.509999998"/>
    <s v="Unknown"/>
    <n v="1"/>
    <n v="0"/>
  </r>
  <r>
    <x v="22"/>
    <d v="2026-03-01T00:00:00"/>
    <s v="City Pharma"/>
    <n v="5200"/>
    <s v="EUR"/>
    <s v="Captured "/>
    <n v="42"/>
    <s v=" EU "/>
    <s v="U003"/>
    <s v="Card"/>
    <x v="2"/>
    <s v="2026-03-01"/>
    <s v="captured"/>
    <n v="42"/>
    <s v="EU"/>
    <n v="4814.8100000000004"/>
    <s v="Unknown"/>
    <n v="0"/>
    <n v="0"/>
  </r>
  <r>
    <x v="23"/>
    <d v="2026-03-02T00:00:00"/>
    <s v="Eco Home"/>
    <n v="6100"/>
    <s v="EUR"/>
    <s v=" chargeback "/>
    <s v="score:65"/>
    <s v="EU"/>
    <s v="U004"/>
    <s v="Card"/>
    <x v="3"/>
    <s v="2026-03-02"/>
    <s v="chargeback"/>
    <n v="65"/>
    <s v="EU"/>
    <n v="5648.15"/>
    <s v="Unknown"/>
    <n v="0"/>
    <n v="1"/>
  </r>
  <r>
    <x v="24"/>
    <d v="2026-03-03T00:00:00"/>
    <s v="City Pharma"/>
    <n v="2800"/>
    <s v="EUR"/>
    <s v="Captured "/>
    <n v="38"/>
    <s v="EU"/>
    <s v="U005"/>
    <s v="Wallet"/>
    <x v="2"/>
    <s v="2026-03-03"/>
    <s v="captured"/>
    <n v="38"/>
    <s v="EU"/>
    <n v="2592.59"/>
    <s v="Unknown"/>
    <n v="0"/>
    <n v="0"/>
  </r>
  <r>
    <x v="25"/>
    <d v="2026-03-05T00:00:00"/>
    <s v="Eco Home"/>
    <n v="3300"/>
    <s v="EUR"/>
    <s v="FAILED e05 TIMEOUT"/>
    <n v="44"/>
    <s v=" EU "/>
    <s v="U006"/>
    <s v="NetBanking"/>
    <x v="3"/>
    <s v="2026-03-05"/>
    <s v="failed_timeout"/>
    <n v="44"/>
    <s v="EU"/>
    <n v="3055.56"/>
    <s v="Unknown"/>
    <n v="0"/>
    <n v="0"/>
  </r>
  <r>
    <x v="26"/>
    <d v="2026-03-01T00:00:00"/>
    <s v="DELTA TRAVELS"/>
    <n v="7200"/>
    <s v="USD"/>
    <s v="Captured "/>
    <n v="49"/>
    <s v="us"/>
    <s v="U007"/>
    <s v="Card"/>
    <x v="4"/>
    <s v="2026-03-01"/>
    <s v="captured"/>
    <n v="49"/>
    <s v="US"/>
    <n v="7200"/>
    <s v="Unknown"/>
    <n v="1"/>
    <n v="0"/>
  </r>
  <r>
    <x v="27"/>
    <d v="2026-03-02T00:00:00"/>
    <s v="DELTA TRAVELS"/>
    <n v="3100"/>
    <s v="USD"/>
    <s v=" CAPTURED"/>
    <s v="risk-41"/>
    <s v="us"/>
    <s v="U008"/>
    <s v="Card"/>
    <x v="4"/>
    <s v="2026-03-02"/>
    <s v="captured"/>
    <n v="41"/>
    <s v="US"/>
    <n v="3100"/>
    <s v="Unknown"/>
    <n v="0"/>
    <n v="0"/>
  </r>
  <r>
    <x v="28"/>
    <d v="2026-03-04T00:00:00"/>
    <s v="delta travels "/>
    <n v="2500"/>
    <s v="USD"/>
    <s v=" chargeback "/>
    <s v="score:58"/>
    <s v="us"/>
    <s v="U009"/>
    <s v="Wallet"/>
    <x v="4"/>
    <s v="2026-03-04"/>
    <s v="chargeback"/>
    <n v="58"/>
    <s v="US"/>
    <n v="2500"/>
    <s v="Unknown"/>
    <n v="0"/>
    <n v="1"/>
  </r>
  <r>
    <x v="29"/>
    <d v="2026-03-06T00:00:00"/>
    <s v="DELTA TRAVELS"/>
    <n v="1800"/>
    <s v="USD"/>
    <s v="FAILED e05 TIMEOUT"/>
    <s v="score:47"/>
    <s v="us"/>
    <s v="U010"/>
    <s v="UPI"/>
    <x v="4"/>
    <s v="2026-03-06"/>
    <s v="failed_timeout"/>
    <n v="47"/>
    <s v="US"/>
    <n v="1800"/>
    <s v="Unknown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E2431-D165-4CDA-A1B4-6061BB3B3A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9"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_usd" fld="15" baseField="10" baseItem="0"/>
    <dataField name="Count of transaction_id" fld="0" subtotal="count" baseField="10" baseItem="0"/>
    <dataField name="Sum of high_risk_flag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B48E-9E57-4326-BC63-2217A4A36431}">
  <dimension ref="A3:D9"/>
  <sheetViews>
    <sheetView topLeftCell="A4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8.33203125" bestFit="1" customWidth="1"/>
    <col min="3" max="3" width="21" bestFit="1" customWidth="1"/>
    <col min="4" max="4" width="19.33203125" bestFit="1" customWidth="1"/>
  </cols>
  <sheetData>
    <row r="3" spans="1:4" x14ac:dyDescent="0.3">
      <c r="A3" s="3" t="s">
        <v>133</v>
      </c>
      <c r="B3" t="s">
        <v>135</v>
      </c>
      <c r="C3" t="s">
        <v>136</v>
      </c>
      <c r="D3" t="s">
        <v>137</v>
      </c>
    </row>
    <row r="4" spans="1:4" x14ac:dyDescent="0.3">
      <c r="A4" s="4" t="s">
        <v>35</v>
      </c>
      <c r="B4">
        <v>287394957.98000002</v>
      </c>
      <c r="C4">
        <v>11</v>
      </c>
      <c r="D4">
        <v>3</v>
      </c>
    </row>
    <row r="5" spans="1:4" x14ac:dyDescent="0.3">
      <c r="A5" s="4" t="s">
        <v>49</v>
      </c>
      <c r="B5">
        <v>293277310.93000001</v>
      </c>
      <c r="C5">
        <v>11</v>
      </c>
      <c r="D5">
        <v>5</v>
      </c>
    </row>
    <row r="6" spans="1:4" x14ac:dyDescent="0.3">
      <c r="A6" s="4" t="s">
        <v>82</v>
      </c>
      <c r="B6">
        <v>7407.4000000000005</v>
      </c>
      <c r="C6">
        <v>2</v>
      </c>
      <c r="D6">
        <v>0</v>
      </c>
    </row>
    <row r="7" spans="1:4" x14ac:dyDescent="0.3">
      <c r="A7" s="4" t="s">
        <v>97</v>
      </c>
      <c r="B7">
        <v>14600</v>
      </c>
      <c r="C7">
        <v>4</v>
      </c>
      <c r="D7">
        <v>1</v>
      </c>
    </row>
    <row r="8" spans="1:4" x14ac:dyDescent="0.3">
      <c r="A8" s="4" t="s">
        <v>86</v>
      </c>
      <c r="B8">
        <v>8703.7099999999991</v>
      </c>
      <c r="C8">
        <v>2</v>
      </c>
      <c r="D8">
        <v>1</v>
      </c>
    </row>
    <row r="9" spans="1:4" x14ac:dyDescent="0.3">
      <c r="A9" s="4" t="s">
        <v>134</v>
      </c>
      <c r="B9">
        <v>580702980.01999998</v>
      </c>
      <c r="C9">
        <v>30</v>
      </c>
      <c r="D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C67A-AAAC-4242-8597-F2A8A0EC9696}">
  <dimension ref="A1:S31"/>
  <sheetViews>
    <sheetView tabSelected="1" workbookViewId="0">
      <pane ySplit="1" topLeftCell="A4" activePane="bottomLeft" state="frozen"/>
      <selection pane="bottomLeft" activeCell="N2" sqref="N2"/>
    </sheetView>
  </sheetViews>
  <sheetFormatPr defaultRowHeight="14.4" x14ac:dyDescent="0.3"/>
  <cols>
    <col min="1" max="1" width="12.6640625" customWidth="1"/>
    <col min="2" max="2" width="15.5546875" customWidth="1"/>
    <col min="3" max="3" width="14.44140625" customWidth="1"/>
    <col min="4" max="4" width="12.77734375" customWidth="1"/>
    <col min="5" max="5" width="9.109375" customWidth="1"/>
    <col min="6" max="6" width="18" customWidth="1"/>
    <col min="7" max="7" width="10.6640625" customWidth="1"/>
    <col min="8" max="8" width="14.88671875" customWidth="1"/>
    <col min="9" max="9" width="8" customWidth="1"/>
    <col min="10" max="10" width="18.109375" customWidth="1"/>
    <col min="11" max="11" width="15.6640625" customWidth="1"/>
    <col min="12" max="12" width="12.6640625" customWidth="1"/>
    <col min="13" max="13" width="13.88671875" customWidth="1"/>
    <col min="14" max="14" width="15.5546875" customWidth="1"/>
    <col min="15" max="15" width="11.88671875" customWidth="1"/>
    <col min="16" max="16" width="14.33203125" customWidth="1"/>
    <col min="17" max="17" width="17.44140625" customWidth="1"/>
    <col min="18" max="18" width="13.88671875" customWidth="1"/>
    <col min="19" max="19" width="13.664062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125</v>
      </c>
      <c r="L1" s="2" t="s">
        <v>126</v>
      </c>
      <c r="M1" s="2" t="s">
        <v>127</v>
      </c>
      <c r="N1" s="2" t="s">
        <v>128</v>
      </c>
      <c r="O1" s="2" t="s">
        <v>129</v>
      </c>
      <c r="P1" s="2" t="s">
        <v>130</v>
      </c>
      <c r="Q1" s="2" t="s">
        <v>108</v>
      </c>
      <c r="R1" s="2" t="s">
        <v>131</v>
      </c>
      <c r="S1" s="2" t="s">
        <v>132</v>
      </c>
    </row>
    <row r="2" spans="1:19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tr">
        <f>TRIM(PROPER(SUBSTITUTE(SUBSTITUTE(C2,"  "," "),"   "," ")))</f>
        <v>Alpha Mart</v>
      </c>
      <c r="L2" t="str">
        <f>TEXT(B2,"YYYY-MM-DD")</f>
        <v>2026-03-01</v>
      </c>
      <c r="M2" t="str">
        <f>IF(OR(ISNUMBER(SEARCH("failed",F2)),ISNUMBER(SEARCH("timeout",F2))),"failed_timeout",
IF(ISNUMBER(SEARCH("chargeback",F2)),"chargeback",
IF(ISNUMBER(SEARCH("captured",F2)),"captured","unknown")))</f>
        <v>captured</v>
      </c>
      <c r="N2" cm="1">
        <f t="array" ref="N2">IFERROR(VALUE(TRIM(MID(G2,MIN(IFERROR(FIND({0,1,2,3,4,5,6,7,8,9},G2),999)),LEN(G2)))),"")</f>
        <v>62</v>
      </c>
      <c r="O2" t="str">
        <f>IF(H2="","",UPPER(TRIM(H2)))</f>
        <v>APAC</v>
      </c>
      <c r="P2">
        <f>IFERROR(ROUND(D2/VLOOKUP(E2,Exchange_Rates!$A:$B,2,0),2),"")</f>
        <v>35294117.649999999</v>
      </c>
      <c r="Q2" t="str">
        <f>IFERROR(VLOOKUP(K2,Merchant_Master!$A:$D,2,0),"Unknown")</f>
        <v>Unknown</v>
      </c>
      <c r="R2">
        <f>IF(AND(O2="APAC",P2&gt;5000),1,
IF(AND(O2="EU",P2&gt;6000),1,
IF(AND(O2="US",P2&gt;7000),1,0)))</f>
        <v>1</v>
      </c>
      <c r="S2">
        <f>IF(OR(N2&gt;=70,ISNUMBER(SEARCH("chargeback",M2))),1,0)</f>
        <v>0</v>
      </c>
    </row>
    <row r="3" spans="1:19" x14ac:dyDescent="0.3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  <c r="K3" t="str">
        <f t="shared" ref="K3:K31" si="0">TRIM(PROPER(SUBSTITUTE(SUBSTITUTE(C3,"  "," "),"   "," ")))</f>
        <v>Alpha Mart</v>
      </c>
      <c r="L3" t="str">
        <f t="shared" ref="L3:L31" si="1">TEXT(B3,"YYYY-MM-DD")</f>
        <v>2026-03-01</v>
      </c>
      <c r="M3" t="str">
        <f t="shared" ref="M3:M31" si="2">IF(OR(ISNUMBER(SEARCH("failed",F3)),ISNUMBER(SEARCH("timeout",F3))),"failed_timeout",
IF(ISNUMBER(SEARCH("chargeback",F3)),"chargeback",
IF(ISNUMBER(SEARCH("captured",F3)),"captured","unknown")))</f>
        <v>captured</v>
      </c>
      <c r="N3" cm="1">
        <f t="array" ref="N3">IFERROR(VALUE(TRIM(MID(G3,MIN(IFERROR(FIND({0,1,2,3,4,5,6,7,8,9},G3),999)),LEN(G3)))),"")</f>
        <v>55</v>
      </c>
      <c r="O3" t="str">
        <f t="shared" ref="O3:O31" si="3">IF(H3="","",UPPER(TRIM(H3)))</f>
        <v/>
      </c>
      <c r="P3">
        <f>IFERROR(ROUND(D3/VLOOKUP(E3,Exchange_Rates!$A:$B,2,0),2),"")</f>
        <v>17647058.82</v>
      </c>
      <c r="Q3" t="str">
        <f>IFERROR(VLOOKUP(K3,Merchant_Master!$A:$D,2,0),"Unknown")</f>
        <v>Unknown</v>
      </c>
      <c r="R3">
        <f t="shared" ref="R3:R31" si="4">IF(AND(O3="APAC",P3&gt;5000),1,
IF(AND(O3="EU",P3&gt;6000),1,
IF(AND(O3="US",P3&gt;7000),1,0)))</f>
        <v>0</v>
      </c>
      <c r="S3">
        <f t="shared" ref="S3:S31" si="5">IF(OR(N3&gt;=70,ISNUMBER(SEARCH("chargeback",M3))),1,0)</f>
        <v>0</v>
      </c>
    </row>
    <row r="4" spans="1:19" x14ac:dyDescent="0.3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  <c r="K4" t="str">
        <f t="shared" si="0"/>
        <v>Beta Stores</v>
      </c>
      <c r="L4" t="str">
        <f t="shared" si="1"/>
        <v>2026-03-01</v>
      </c>
      <c r="M4" t="str">
        <f t="shared" si="2"/>
        <v>captured</v>
      </c>
      <c r="N4" cm="1">
        <f t="array" ref="N4">IFERROR(VALUE(TRIM(MID(G4,MIN(IFERROR(FIND({0,1,2,3,4,5,6,7,8,9},G4),999)),LEN(G4)))),"")</f>
        <v>71</v>
      </c>
      <c r="O4" t="str">
        <f t="shared" si="3"/>
        <v>APAC</v>
      </c>
      <c r="P4">
        <f>IFERROR(ROUND(D4/VLOOKUP(E4,Exchange_Rates!$A:$B,2,0),2),"")</f>
        <v>42857142.859999999</v>
      </c>
      <c r="Q4" t="str">
        <f>IFERROR(VLOOKUP(K4,Merchant_Master!$A:$D,2,0),"Unknown")</f>
        <v>Unknown</v>
      </c>
      <c r="R4">
        <f t="shared" si="4"/>
        <v>1</v>
      </c>
      <c r="S4">
        <f t="shared" si="5"/>
        <v>1</v>
      </c>
    </row>
    <row r="5" spans="1:19" x14ac:dyDescent="0.3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  <c r="K5" t="str">
        <f t="shared" si="0"/>
        <v>Beta Stores</v>
      </c>
      <c r="L5" t="str">
        <f t="shared" si="1"/>
        <v>2026-03-02</v>
      </c>
      <c r="M5" t="str">
        <f t="shared" si="2"/>
        <v>failed_timeout</v>
      </c>
      <c r="N5" cm="1">
        <f t="array" ref="N5">IFERROR(VALUE(TRIM(MID(G5,MIN(IFERROR(FIND({0,1,2,3,4,5,6,7,8,9},G5),999)),LEN(G5)))),"")</f>
        <v>68</v>
      </c>
      <c r="O5" t="str">
        <f t="shared" si="3"/>
        <v>APAC</v>
      </c>
      <c r="P5">
        <f>IFERROR(ROUND(D5/VLOOKUP(E5,Exchange_Rates!$A:$B,2,0),2),"")</f>
        <v>13445378.15</v>
      </c>
      <c r="Q5" t="str">
        <f>IFERROR(VLOOKUP(K5,Merchant_Master!$A:$D,2,0),"Unknown")</f>
        <v>Unknown</v>
      </c>
      <c r="R5">
        <f t="shared" si="4"/>
        <v>1</v>
      </c>
      <c r="S5">
        <f t="shared" si="5"/>
        <v>0</v>
      </c>
    </row>
    <row r="6" spans="1:19" x14ac:dyDescent="0.3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  <c r="K6" t="str">
        <f t="shared" si="0"/>
        <v>Alpha Mart</v>
      </c>
      <c r="L6" t="str">
        <f t="shared" si="1"/>
        <v>2026-03-02</v>
      </c>
      <c r="M6" t="str">
        <f t="shared" si="2"/>
        <v>captured</v>
      </c>
      <c r="N6" cm="1">
        <f t="array" ref="N6">IFERROR(VALUE(TRIM(MID(G6,MIN(IFERROR(FIND({0,1,2,3,4,5,6,7,8,9},G6),999)),LEN(G6)))),"")</f>
        <v>58</v>
      </c>
      <c r="O6" t="str">
        <f t="shared" si="3"/>
        <v/>
      </c>
      <c r="P6">
        <f>IFERROR(ROUND(D6/VLOOKUP(E6,Exchange_Rates!$A:$B,2,0),2),"")</f>
        <v>32773109.239999998</v>
      </c>
      <c r="Q6" t="str">
        <f>IFERROR(VLOOKUP(K6,Merchant_Master!$A:$D,2,0),"Unknown")</f>
        <v>Unknown</v>
      </c>
      <c r="R6">
        <f t="shared" si="4"/>
        <v>0</v>
      </c>
      <c r="S6">
        <f t="shared" si="5"/>
        <v>0</v>
      </c>
    </row>
    <row r="7" spans="1:19" x14ac:dyDescent="0.3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  <c r="K7" t="str">
        <f t="shared" si="0"/>
        <v>Beta Stores</v>
      </c>
      <c r="L7" t="str">
        <f t="shared" si="1"/>
        <v>2026-03-02</v>
      </c>
      <c r="M7" t="str">
        <f t="shared" si="2"/>
        <v>captured</v>
      </c>
      <c r="N7" cm="1">
        <f t="array" ref="N7">IFERROR(VALUE(TRIM(MID(G7,MIN(IFERROR(FIND({0,1,2,3,4,5,6,7,8,9},G7),999)),LEN(G7)))),"")</f>
        <v>64</v>
      </c>
      <c r="O7" t="str">
        <f t="shared" si="3"/>
        <v/>
      </c>
      <c r="P7">
        <f>IFERROR(ROUND(D7/VLOOKUP(E7,Exchange_Rates!$A:$B,2,0),2),"")</f>
        <v>23109243.699999999</v>
      </c>
      <c r="Q7" t="str">
        <f>IFERROR(VLOOKUP(K7,Merchant_Master!$A:$D,2,0),"Unknown")</f>
        <v>Unknown</v>
      </c>
      <c r="R7">
        <f t="shared" si="4"/>
        <v>0</v>
      </c>
      <c r="S7">
        <f t="shared" si="5"/>
        <v>0</v>
      </c>
    </row>
    <row r="8" spans="1:19" x14ac:dyDescent="0.3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  <c r="K8" t="str">
        <f t="shared" si="0"/>
        <v>Alpha Mart</v>
      </c>
      <c r="L8" t="str">
        <f t="shared" si="1"/>
        <v>2026-03-02</v>
      </c>
      <c r="M8" t="str">
        <f t="shared" si="2"/>
        <v>chargeback</v>
      </c>
      <c r="N8" cm="1">
        <f t="array" ref="N8">IFERROR(VALUE(TRIM(MID(G8,MIN(IFERROR(FIND({0,1,2,3,4,5,6,7,8,9},G8),999)),LEN(G8)))),"")</f>
        <v>83</v>
      </c>
      <c r="O8" t="str">
        <f t="shared" si="3"/>
        <v>APAC</v>
      </c>
      <c r="P8">
        <f>IFERROR(ROUND(D8/VLOOKUP(E8,Exchange_Rates!$A:$B,2,0),2),"")</f>
        <v>37815126.049999997</v>
      </c>
      <c r="Q8" t="str">
        <f>IFERROR(VLOOKUP(K8,Merchant_Master!$A:$D,2,0),"Unknown")</f>
        <v>Unknown</v>
      </c>
      <c r="R8">
        <f t="shared" si="4"/>
        <v>1</v>
      </c>
      <c r="S8">
        <f t="shared" si="5"/>
        <v>1</v>
      </c>
    </row>
    <row r="9" spans="1:19" x14ac:dyDescent="0.3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  <c r="K9" t="str">
        <f t="shared" si="0"/>
        <v>Beta Stores</v>
      </c>
      <c r="L9" t="str">
        <f t="shared" si="1"/>
        <v>2026-03-03</v>
      </c>
      <c r="M9" t="str">
        <f t="shared" si="2"/>
        <v>captured</v>
      </c>
      <c r="N9" cm="1">
        <f t="array" ref="N9">IFERROR(VALUE(TRIM(MID(G9,MIN(IFERROR(FIND({0,1,2,3,4,5,6,7,8,9},G9),999)),LEN(G9)))),"")</f>
        <v>59</v>
      </c>
      <c r="O9" t="str">
        <f t="shared" si="3"/>
        <v/>
      </c>
      <c r="P9">
        <f>IFERROR(ROUND(D9/VLOOKUP(E9,Exchange_Rates!$A:$B,2,0),2),"")</f>
        <v>28571428.57</v>
      </c>
      <c r="Q9" t="str">
        <f>IFERROR(VLOOKUP(K9,Merchant_Master!$A:$D,2,0),"Unknown")</f>
        <v>Unknown</v>
      </c>
      <c r="R9">
        <f t="shared" si="4"/>
        <v>0</v>
      </c>
      <c r="S9">
        <f t="shared" si="5"/>
        <v>0</v>
      </c>
    </row>
    <row r="10" spans="1:19" x14ac:dyDescent="0.3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  <c r="K10" t="str">
        <f t="shared" si="0"/>
        <v>Alpha Mart</v>
      </c>
      <c r="L10" t="str">
        <f t="shared" si="1"/>
        <v>2026-03-03</v>
      </c>
      <c r="M10" t="str">
        <f t="shared" si="2"/>
        <v>captured</v>
      </c>
      <c r="N10" cm="1">
        <f t="array" ref="N10">IFERROR(VALUE(TRIM(MID(G10,MIN(IFERROR(FIND({0,1,2,3,4,5,6,7,8,9},G10),999)),LEN(G10)))),"")</f>
        <v>46</v>
      </c>
      <c r="O10" t="str">
        <f t="shared" si="3"/>
        <v>APAC</v>
      </c>
      <c r="P10">
        <f>IFERROR(ROUND(D10/VLOOKUP(E10,Exchange_Rates!$A:$B,2,0),2),"")</f>
        <v>10504201.68</v>
      </c>
      <c r="Q10" t="str">
        <f>IFERROR(VLOOKUP(K10,Merchant_Master!$A:$D,2,0),"Unknown")</f>
        <v>Unknown</v>
      </c>
      <c r="R10">
        <f t="shared" si="4"/>
        <v>1</v>
      </c>
      <c r="S10">
        <f t="shared" si="5"/>
        <v>0</v>
      </c>
    </row>
    <row r="11" spans="1:19" x14ac:dyDescent="0.3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  <c r="K11" t="str">
        <f t="shared" si="0"/>
        <v>Beta Stores</v>
      </c>
      <c r="L11" t="str">
        <f t="shared" si="1"/>
        <v>2026-03-03</v>
      </c>
      <c r="M11" t="str">
        <f t="shared" si="2"/>
        <v>captured</v>
      </c>
      <c r="N11" cm="1">
        <f t="array" ref="N11">IFERROR(VALUE(TRIM(MID(G11,MIN(IFERROR(FIND({0,1,2,3,4,5,6,7,8,9},G11),999)),LEN(G11)))),"")</f>
        <v>77</v>
      </c>
      <c r="O11" t="str">
        <f t="shared" si="3"/>
        <v/>
      </c>
      <c r="P11">
        <f>IFERROR(ROUND(D11/VLOOKUP(E11,Exchange_Rates!$A:$B,2,0),2),"")</f>
        <v>51260504.200000003</v>
      </c>
      <c r="Q11" t="str">
        <f>IFERROR(VLOOKUP(K11,Merchant_Master!$A:$D,2,0),"Unknown")</f>
        <v>Unknown</v>
      </c>
      <c r="R11">
        <f t="shared" si="4"/>
        <v>0</v>
      </c>
      <c r="S11">
        <f t="shared" si="5"/>
        <v>1</v>
      </c>
    </row>
    <row r="12" spans="1:19" x14ac:dyDescent="0.3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  <c r="K12" t="str">
        <f t="shared" si="0"/>
        <v>Alpha Mart</v>
      </c>
      <c r="L12" t="str">
        <f t="shared" si="1"/>
        <v>2026-03-03</v>
      </c>
      <c r="M12" t="str">
        <f t="shared" si="2"/>
        <v>failed_timeout</v>
      </c>
      <c r="N12" t="str" cm="1">
        <f t="array" ref="N12">IFERROR(VALUE(TRIM(MID(G12,MIN(IFERROR(FIND({0,1,2,3,4,5,6,7,8,9},G12),999)),LEN(G12)))),"")</f>
        <v/>
      </c>
      <c r="O12" t="str">
        <f t="shared" si="3"/>
        <v/>
      </c>
      <c r="P12">
        <f>IFERROR(ROUND(D12/VLOOKUP(E12,Exchange_Rates!$A:$B,2,0),2),"")</f>
        <v>16386554.619999999</v>
      </c>
      <c r="Q12" t="str">
        <f>IFERROR(VLOOKUP(K12,Merchant_Master!$A:$D,2,0),"Unknown")</f>
        <v>Unknown</v>
      </c>
      <c r="R12">
        <f t="shared" si="4"/>
        <v>0</v>
      </c>
      <c r="S12">
        <f t="shared" si="5"/>
        <v>1</v>
      </c>
    </row>
    <row r="13" spans="1:19" x14ac:dyDescent="0.3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  <c r="K13" t="str">
        <f t="shared" si="0"/>
        <v>Beta Stores</v>
      </c>
      <c r="L13" t="str">
        <f t="shared" si="1"/>
        <v>2026-03-04</v>
      </c>
      <c r="M13" t="str">
        <f t="shared" si="2"/>
        <v>captured</v>
      </c>
      <c r="N13" cm="1">
        <f t="array" ref="N13">IFERROR(VALUE(TRIM(MID(G13,MIN(IFERROR(FIND({0,1,2,3,4,5,6,7,8,9},G13),999)),LEN(G13)))),"")</f>
        <v>61</v>
      </c>
      <c r="O13" t="str">
        <f t="shared" si="3"/>
        <v>APAC</v>
      </c>
      <c r="P13">
        <f>IFERROR(ROUND(D13/VLOOKUP(E13,Exchange_Rates!$A:$B,2,0),2),"")</f>
        <v>21008403.359999999</v>
      </c>
      <c r="Q13" t="str">
        <f>IFERROR(VLOOKUP(K13,Merchant_Master!$A:$D,2,0),"Unknown")</f>
        <v>Unknown</v>
      </c>
      <c r="R13">
        <f t="shared" si="4"/>
        <v>1</v>
      </c>
      <c r="S13">
        <f t="shared" si="5"/>
        <v>0</v>
      </c>
    </row>
    <row r="14" spans="1:19" x14ac:dyDescent="0.3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  <c r="K14" t="str">
        <f t="shared" si="0"/>
        <v>Alpha Mart</v>
      </c>
      <c r="L14" t="str">
        <f t="shared" si="1"/>
        <v>2026-03-04</v>
      </c>
      <c r="M14" t="str">
        <f t="shared" si="2"/>
        <v>captured</v>
      </c>
      <c r="N14" cm="1">
        <f t="array" ref="N14">IFERROR(VALUE(TRIM(MID(G14,MIN(IFERROR(FIND({0,1,2,3,4,5,6,7,8,9},G14),999)),LEN(G14)))),"")</f>
        <v>54</v>
      </c>
      <c r="O14" t="str">
        <f t="shared" si="3"/>
        <v>APAC</v>
      </c>
      <c r="P14">
        <f>IFERROR(ROUND(D14/VLOOKUP(E14,Exchange_Rates!$A:$B,2,0),2),"")</f>
        <v>26050420.170000002</v>
      </c>
      <c r="Q14" t="str">
        <f>IFERROR(VLOOKUP(K14,Merchant_Master!$A:$D,2,0),"Unknown")</f>
        <v>Unknown</v>
      </c>
      <c r="R14">
        <f t="shared" si="4"/>
        <v>1</v>
      </c>
      <c r="S14">
        <f t="shared" si="5"/>
        <v>0</v>
      </c>
    </row>
    <row r="15" spans="1:19" x14ac:dyDescent="0.3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  <c r="K15" t="str">
        <f t="shared" si="0"/>
        <v>Beta Stores</v>
      </c>
      <c r="L15" t="str">
        <f t="shared" si="1"/>
        <v>2026-03-04</v>
      </c>
      <c r="M15" t="str">
        <f t="shared" si="2"/>
        <v>captured</v>
      </c>
      <c r="N15" cm="1">
        <f t="array" ref="N15">IFERROR(VALUE(TRIM(MID(G15,MIN(IFERROR(FIND({0,1,2,3,4,5,6,7,8,9},G15),999)),LEN(G15)))),"")</f>
        <v>73</v>
      </c>
      <c r="O15" t="str">
        <f t="shared" si="3"/>
        <v>APAC</v>
      </c>
      <c r="P15">
        <f>IFERROR(ROUND(D15/VLOOKUP(E15,Exchange_Rates!$A:$B,2,0),2),"")</f>
        <v>39495798.32</v>
      </c>
      <c r="Q15" t="str">
        <f>IFERROR(VLOOKUP(K15,Merchant_Master!$A:$D,2,0),"Unknown")</f>
        <v>Unknown</v>
      </c>
      <c r="R15">
        <f t="shared" si="4"/>
        <v>1</v>
      </c>
      <c r="S15">
        <f t="shared" si="5"/>
        <v>1</v>
      </c>
    </row>
    <row r="16" spans="1:19" x14ac:dyDescent="0.3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  <c r="K16" t="str">
        <f t="shared" si="0"/>
        <v>Alpha Mart</v>
      </c>
      <c r="L16" t="str">
        <f t="shared" si="1"/>
        <v>2026-03-04</v>
      </c>
      <c r="M16" t="str">
        <f t="shared" si="2"/>
        <v>captured</v>
      </c>
      <c r="N16" cm="1">
        <f t="array" ref="N16">IFERROR(VALUE(TRIM(MID(G16,MIN(IFERROR(FIND({0,1,2,3,4,5,6,7,8,9},G16),999)),LEN(G16)))),"")</f>
        <v>52</v>
      </c>
      <c r="O16" t="str">
        <f t="shared" si="3"/>
        <v/>
      </c>
      <c r="P16">
        <f>IFERROR(ROUND(D16/VLOOKUP(E16,Exchange_Rates!$A:$B,2,0),2),"")</f>
        <v>10924369.75</v>
      </c>
      <c r="Q16" t="str">
        <f>IFERROR(VLOOKUP(K16,Merchant_Master!$A:$D,2,0),"Unknown")</f>
        <v>Unknown</v>
      </c>
      <c r="R16">
        <f t="shared" si="4"/>
        <v>0</v>
      </c>
      <c r="S16">
        <f t="shared" si="5"/>
        <v>0</v>
      </c>
    </row>
    <row r="17" spans="1:19" x14ac:dyDescent="0.3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  <c r="K17" t="str">
        <f t="shared" si="0"/>
        <v>Beta Stores</v>
      </c>
      <c r="L17" t="str">
        <f t="shared" si="1"/>
        <v>2026-03-05</v>
      </c>
      <c r="M17" t="str">
        <f t="shared" si="2"/>
        <v>failed_timeout</v>
      </c>
      <c r="N17" cm="1">
        <f t="array" ref="N17">IFERROR(VALUE(TRIM(MID(G17,MIN(IFERROR(FIND({0,1,2,3,4,5,6,7,8,9},G17),999)),LEN(G17)))),"")</f>
        <v>69</v>
      </c>
      <c r="O17" t="str">
        <f t="shared" si="3"/>
        <v/>
      </c>
      <c r="P17">
        <f>IFERROR(ROUND(D17/VLOOKUP(E17,Exchange_Rates!$A:$B,2,0),2),"")</f>
        <v>18487394.960000001</v>
      </c>
      <c r="Q17" t="str">
        <f>IFERROR(VLOOKUP(K17,Merchant_Master!$A:$D,2,0),"Unknown")</f>
        <v>Unknown</v>
      </c>
      <c r="R17">
        <f t="shared" si="4"/>
        <v>0</v>
      </c>
      <c r="S17">
        <f t="shared" si="5"/>
        <v>0</v>
      </c>
    </row>
    <row r="18" spans="1:19" x14ac:dyDescent="0.3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  <c r="K18" t="str">
        <f t="shared" si="0"/>
        <v>Beta Stores</v>
      </c>
      <c r="L18" t="str">
        <f t="shared" si="1"/>
        <v>2026-03-05</v>
      </c>
      <c r="M18" t="str">
        <f t="shared" si="2"/>
        <v>failed_timeout</v>
      </c>
      <c r="N18" cm="1">
        <f t="array" ref="N18">IFERROR(VALUE(TRIM(MID(G18,MIN(IFERROR(FIND({0,1,2,3,4,5,6,7,8,9},G18),999)),LEN(G18)))),"")</f>
        <v>72</v>
      </c>
      <c r="O18" t="str">
        <f t="shared" si="3"/>
        <v>APAC</v>
      </c>
      <c r="P18">
        <f>IFERROR(ROUND(D18/VLOOKUP(E18,Exchange_Rates!$A:$B,2,0),2),"")</f>
        <v>15126050.42</v>
      </c>
      <c r="Q18" t="str">
        <f>IFERROR(VLOOKUP(K18,Merchant_Master!$A:$D,2,0),"Unknown")</f>
        <v>Unknown</v>
      </c>
      <c r="R18">
        <f t="shared" si="4"/>
        <v>1</v>
      </c>
      <c r="S18">
        <f t="shared" si="5"/>
        <v>1</v>
      </c>
    </row>
    <row r="19" spans="1:19" x14ac:dyDescent="0.3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  <c r="K19" t="str">
        <f t="shared" si="0"/>
        <v>Beta Stores</v>
      </c>
      <c r="L19" t="str">
        <f t="shared" si="1"/>
        <v>2026-03-05</v>
      </c>
      <c r="M19" t="str">
        <f t="shared" si="2"/>
        <v>chargeback</v>
      </c>
      <c r="N19" cm="1">
        <f t="array" ref="N19">IFERROR(VALUE(TRIM(MID(G19,MIN(IFERROR(FIND({0,1,2,3,4,5,6,7,8,9},G19),999)),LEN(G19)))),"")</f>
        <v>86</v>
      </c>
      <c r="O19" t="str">
        <f t="shared" si="3"/>
        <v>APAC</v>
      </c>
      <c r="P19">
        <f>IFERROR(ROUND(D19/VLOOKUP(E19,Exchange_Rates!$A:$B,2,0),2),"")</f>
        <v>12184873.949999999</v>
      </c>
      <c r="Q19" t="str">
        <f>IFERROR(VLOOKUP(K19,Merchant_Master!$A:$D,2,0),"Unknown")</f>
        <v>Unknown</v>
      </c>
      <c r="R19">
        <f t="shared" si="4"/>
        <v>1</v>
      </c>
      <c r="S19">
        <f t="shared" si="5"/>
        <v>1</v>
      </c>
    </row>
    <row r="20" spans="1:19" x14ac:dyDescent="0.3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  <c r="K20" t="str">
        <f t="shared" si="0"/>
        <v>Alpha Mart</v>
      </c>
      <c r="L20" t="str">
        <f t="shared" si="1"/>
        <v>2026-03-05</v>
      </c>
      <c r="M20" t="str">
        <f t="shared" si="2"/>
        <v>failed_timeout</v>
      </c>
      <c r="N20" cm="1">
        <f t="array" ref="N20">IFERROR(VALUE(TRIM(MID(G20,MIN(IFERROR(FIND({0,1,2,3,4,5,6,7,8,9},G20),999)),LEN(G20)))),"")</f>
        <v>67</v>
      </c>
      <c r="O20" t="str">
        <f t="shared" si="3"/>
        <v>APAC</v>
      </c>
      <c r="P20">
        <f>IFERROR(ROUND(D20/VLOOKUP(E20,Exchange_Rates!$A:$B,2,0),2),"")</f>
        <v>21848739.5</v>
      </c>
      <c r="Q20" t="str">
        <f>IFERROR(VLOOKUP(K20,Merchant_Master!$A:$D,2,0),"Unknown")</f>
        <v>Unknown</v>
      </c>
      <c r="R20">
        <f t="shared" si="4"/>
        <v>1</v>
      </c>
      <c r="S20">
        <f t="shared" si="5"/>
        <v>0</v>
      </c>
    </row>
    <row r="21" spans="1:19" x14ac:dyDescent="0.3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  <c r="K21" t="str">
        <f t="shared" si="0"/>
        <v>Alpha Mart</v>
      </c>
      <c r="L21" t="str">
        <f t="shared" si="1"/>
        <v>2026-03-05</v>
      </c>
      <c r="M21" t="str">
        <f t="shared" si="2"/>
        <v>captured</v>
      </c>
      <c r="N21" cm="1">
        <f t="array" ref="N21">IFERROR(VALUE(TRIM(MID(G21,MIN(IFERROR(FIND({0,1,2,3,4,5,6,7,8,9},G21),999)),LEN(G21)))),"")</f>
        <v>75</v>
      </c>
      <c r="O21" t="str">
        <f t="shared" si="3"/>
        <v>APAC</v>
      </c>
      <c r="P21">
        <f>IFERROR(ROUND(D21/VLOOKUP(E21,Exchange_Rates!$A:$B,2,0),2),"")</f>
        <v>43697478.990000002</v>
      </c>
      <c r="Q21" t="str">
        <f>IFERROR(VLOOKUP(K21,Merchant_Master!$A:$D,2,0),"Unknown")</f>
        <v>Unknown</v>
      </c>
      <c r="R21">
        <f t="shared" si="4"/>
        <v>1</v>
      </c>
      <c r="S21">
        <f t="shared" si="5"/>
        <v>1</v>
      </c>
    </row>
    <row r="22" spans="1:19" x14ac:dyDescent="0.3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  <c r="K22" t="str">
        <f t="shared" si="0"/>
        <v>Beta Stores</v>
      </c>
      <c r="L22" t="str">
        <f t="shared" si="1"/>
        <v>2026-03-06</v>
      </c>
      <c r="M22" t="str">
        <f t="shared" si="2"/>
        <v>captured</v>
      </c>
      <c r="N22" cm="1">
        <f t="array" ref="N22">IFERROR(VALUE(TRIM(MID(G22,MIN(IFERROR(FIND({0,1,2,3,4,5,6,7,8,9},G22),999)),LEN(G22)))),"")</f>
        <v>63</v>
      </c>
      <c r="O22" t="str">
        <f t="shared" si="3"/>
        <v/>
      </c>
      <c r="P22">
        <f>IFERROR(ROUND(D22/VLOOKUP(E22,Exchange_Rates!$A:$B,2,0),2),"")</f>
        <v>27731092.440000001</v>
      </c>
      <c r="Q22" t="str">
        <f>IFERROR(VLOOKUP(K22,Merchant_Master!$A:$D,2,0),"Unknown")</f>
        <v>Unknown</v>
      </c>
      <c r="R22">
        <f t="shared" si="4"/>
        <v>0</v>
      </c>
      <c r="S22">
        <f t="shared" si="5"/>
        <v>0</v>
      </c>
    </row>
    <row r="23" spans="1:19" x14ac:dyDescent="0.3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  <c r="K23" t="str">
        <f t="shared" si="0"/>
        <v>Alpha Mart</v>
      </c>
      <c r="L23" t="str">
        <f t="shared" si="1"/>
        <v>2026-03-06</v>
      </c>
      <c r="M23" t="str">
        <f t="shared" si="2"/>
        <v>captured</v>
      </c>
      <c r="N23" cm="1">
        <f t="array" ref="N23">IFERROR(VALUE(TRIM(MID(G23,MIN(IFERROR(FIND({0,1,2,3,4,5,6,7,8,9},G23),999)),LEN(G23)))),"")</f>
        <v>60</v>
      </c>
      <c r="O23" t="str">
        <f t="shared" si="3"/>
        <v>APAC</v>
      </c>
      <c r="P23">
        <f>IFERROR(ROUND(D23/VLOOKUP(E23,Exchange_Rates!$A:$B,2,0),2),"")</f>
        <v>34453781.509999998</v>
      </c>
      <c r="Q23" t="str">
        <f>IFERROR(VLOOKUP(K23,Merchant_Master!$A:$D,2,0),"Unknown")</f>
        <v>Unknown</v>
      </c>
      <c r="R23">
        <f t="shared" si="4"/>
        <v>1</v>
      </c>
      <c r="S23">
        <f t="shared" si="5"/>
        <v>0</v>
      </c>
    </row>
    <row r="24" spans="1:19" x14ac:dyDescent="0.3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  <c r="K24" t="str">
        <f t="shared" si="0"/>
        <v>City Pharma</v>
      </c>
      <c r="L24" t="str">
        <f t="shared" si="1"/>
        <v>2026-03-01</v>
      </c>
      <c r="M24" t="str">
        <f t="shared" si="2"/>
        <v>captured</v>
      </c>
      <c r="N24" cm="1">
        <f t="array" ref="N24">IFERROR(VALUE(TRIM(MID(G24,MIN(IFERROR(FIND({0,1,2,3,4,5,6,7,8,9},G24),999)),LEN(G24)))),"")</f>
        <v>42</v>
      </c>
      <c r="O24" t="str">
        <f t="shared" si="3"/>
        <v>EU</v>
      </c>
      <c r="P24">
        <f>IFERROR(ROUND(D24/VLOOKUP(E24,Exchange_Rates!$A:$B,2,0),2),"")</f>
        <v>4814.8100000000004</v>
      </c>
      <c r="Q24" t="str">
        <f>IFERROR(VLOOKUP(K24,Merchant_Master!$A:$D,2,0),"Unknown")</f>
        <v>Unknown</v>
      </c>
      <c r="R24">
        <f t="shared" si="4"/>
        <v>0</v>
      </c>
      <c r="S24">
        <f t="shared" si="5"/>
        <v>0</v>
      </c>
    </row>
    <row r="25" spans="1:19" x14ac:dyDescent="0.3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  <c r="K25" t="str">
        <f t="shared" si="0"/>
        <v>Eco Home</v>
      </c>
      <c r="L25" t="str">
        <f t="shared" si="1"/>
        <v>2026-03-02</v>
      </c>
      <c r="M25" t="str">
        <f t="shared" si="2"/>
        <v>chargeback</v>
      </c>
      <c r="N25" cm="1">
        <f t="array" ref="N25">IFERROR(VALUE(TRIM(MID(G25,MIN(IFERROR(FIND({0,1,2,3,4,5,6,7,8,9},G25),999)),LEN(G25)))),"")</f>
        <v>65</v>
      </c>
      <c r="O25" t="str">
        <f t="shared" si="3"/>
        <v>EU</v>
      </c>
      <c r="P25">
        <f>IFERROR(ROUND(D25/VLOOKUP(E25,Exchange_Rates!$A:$B,2,0),2),"")</f>
        <v>5648.15</v>
      </c>
      <c r="Q25" t="str">
        <f>IFERROR(VLOOKUP(K25,Merchant_Master!$A:$D,2,0),"Unknown")</f>
        <v>Unknown</v>
      </c>
      <c r="R25">
        <f t="shared" si="4"/>
        <v>0</v>
      </c>
      <c r="S25">
        <f t="shared" si="5"/>
        <v>1</v>
      </c>
    </row>
    <row r="26" spans="1:19" x14ac:dyDescent="0.3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  <c r="K26" t="str">
        <f t="shared" si="0"/>
        <v>City Pharma</v>
      </c>
      <c r="L26" t="str">
        <f t="shared" si="1"/>
        <v>2026-03-03</v>
      </c>
      <c r="M26" t="str">
        <f t="shared" si="2"/>
        <v>captured</v>
      </c>
      <c r="N26" cm="1">
        <f t="array" ref="N26">IFERROR(VALUE(TRIM(MID(G26,MIN(IFERROR(FIND({0,1,2,3,4,5,6,7,8,9},G26),999)),LEN(G26)))),"")</f>
        <v>38</v>
      </c>
      <c r="O26" t="str">
        <f t="shared" si="3"/>
        <v>EU</v>
      </c>
      <c r="P26">
        <f>IFERROR(ROUND(D26/VLOOKUP(E26,Exchange_Rates!$A:$B,2,0),2),"")</f>
        <v>2592.59</v>
      </c>
      <c r="Q26" t="str">
        <f>IFERROR(VLOOKUP(K26,Merchant_Master!$A:$D,2,0),"Unknown")</f>
        <v>Unknown</v>
      </c>
      <c r="R26">
        <f t="shared" si="4"/>
        <v>0</v>
      </c>
      <c r="S26">
        <f t="shared" si="5"/>
        <v>0</v>
      </c>
    </row>
    <row r="27" spans="1:19" x14ac:dyDescent="0.3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  <c r="K27" t="str">
        <f t="shared" si="0"/>
        <v>Eco Home</v>
      </c>
      <c r="L27" t="str">
        <f t="shared" si="1"/>
        <v>2026-03-05</v>
      </c>
      <c r="M27" t="str">
        <f t="shared" si="2"/>
        <v>failed_timeout</v>
      </c>
      <c r="N27" cm="1">
        <f t="array" ref="N27">IFERROR(VALUE(TRIM(MID(G27,MIN(IFERROR(FIND({0,1,2,3,4,5,6,7,8,9},G27),999)),LEN(G27)))),"")</f>
        <v>44</v>
      </c>
      <c r="O27" t="str">
        <f t="shared" si="3"/>
        <v>EU</v>
      </c>
      <c r="P27">
        <f>IFERROR(ROUND(D27/VLOOKUP(E27,Exchange_Rates!$A:$B,2,0),2),"")</f>
        <v>3055.56</v>
      </c>
      <c r="Q27" t="str">
        <f>IFERROR(VLOOKUP(K27,Merchant_Master!$A:$D,2,0),"Unknown")</f>
        <v>Unknown</v>
      </c>
      <c r="R27">
        <f t="shared" si="4"/>
        <v>0</v>
      </c>
      <c r="S27">
        <f t="shared" si="5"/>
        <v>0</v>
      </c>
    </row>
    <row r="28" spans="1:19" x14ac:dyDescent="0.3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  <c r="K28" t="str">
        <f t="shared" si="0"/>
        <v>Delta Travels</v>
      </c>
      <c r="L28" t="str">
        <f t="shared" si="1"/>
        <v>2026-03-01</v>
      </c>
      <c r="M28" t="str">
        <f t="shared" si="2"/>
        <v>captured</v>
      </c>
      <c r="N28" cm="1">
        <f t="array" ref="N28">IFERROR(VALUE(TRIM(MID(G28,MIN(IFERROR(FIND({0,1,2,3,4,5,6,7,8,9},G28),999)),LEN(G28)))),"")</f>
        <v>49</v>
      </c>
      <c r="O28" t="str">
        <f t="shared" si="3"/>
        <v>US</v>
      </c>
      <c r="P28">
        <f>IFERROR(ROUND(D28/VLOOKUP(E28,Exchange_Rates!$A:$B,2,0),2),"")</f>
        <v>7200</v>
      </c>
      <c r="Q28" t="str">
        <f>IFERROR(VLOOKUP(K28,Merchant_Master!$A:$D,2,0),"Unknown")</f>
        <v>Unknown</v>
      </c>
      <c r="R28">
        <f t="shared" si="4"/>
        <v>1</v>
      </c>
      <c r="S28">
        <f t="shared" si="5"/>
        <v>0</v>
      </c>
    </row>
    <row r="29" spans="1:19" x14ac:dyDescent="0.3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  <c r="K29" t="str">
        <f t="shared" si="0"/>
        <v>Delta Travels</v>
      </c>
      <c r="L29" t="str">
        <f t="shared" si="1"/>
        <v>2026-03-02</v>
      </c>
      <c r="M29" t="str">
        <f t="shared" si="2"/>
        <v>captured</v>
      </c>
      <c r="N29" cm="1">
        <f t="array" ref="N29">IFERROR(VALUE(TRIM(MID(G29,MIN(IFERROR(FIND({0,1,2,3,4,5,6,7,8,9},G29),999)),LEN(G29)))),"")</f>
        <v>41</v>
      </c>
      <c r="O29" t="str">
        <f t="shared" si="3"/>
        <v>US</v>
      </c>
      <c r="P29">
        <f>IFERROR(ROUND(D29/VLOOKUP(E29,Exchange_Rates!$A:$B,2,0),2),"")</f>
        <v>3100</v>
      </c>
      <c r="Q29" t="str">
        <f>IFERROR(VLOOKUP(K29,Merchant_Master!$A:$D,2,0),"Unknown")</f>
        <v>Unknown</v>
      </c>
      <c r="R29">
        <f t="shared" si="4"/>
        <v>0</v>
      </c>
      <c r="S29">
        <f t="shared" si="5"/>
        <v>0</v>
      </c>
    </row>
    <row r="30" spans="1:19" x14ac:dyDescent="0.3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  <c r="K30" t="str">
        <f t="shared" si="0"/>
        <v>Delta Travels</v>
      </c>
      <c r="L30" t="str">
        <f t="shared" si="1"/>
        <v>2026-03-04</v>
      </c>
      <c r="M30" t="str">
        <f t="shared" si="2"/>
        <v>chargeback</v>
      </c>
      <c r="N30" cm="1">
        <f t="array" ref="N30">IFERROR(VALUE(TRIM(MID(G30,MIN(IFERROR(FIND({0,1,2,3,4,5,6,7,8,9},G30),999)),LEN(G30)))),"")</f>
        <v>58</v>
      </c>
      <c r="O30" t="str">
        <f t="shared" si="3"/>
        <v>US</v>
      </c>
      <c r="P30">
        <f>IFERROR(ROUND(D30/VLOOKUP(E30,Exchange_Rates!$A:$B,2,0),2),"")</f>
        <v>2500</v>
      </c>
      <c r="Q30" t="str">
        <f>IFERROR(VLOOKUP(K30,Merchant_Master!$A:$D,2,0),"Unknown")</f>
        <v>Unknown</v>
      </c>
      <c r="R30">
        <f t="shared" si="4"/>
        <v>0</v>
      </c>
      <c r="S30">
        <f t="shared" si="5"/>
        <v>1</v>
      </c>
    </row>
    <row r="31" spans="1:19" x14ac:dyDescent="0.3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  <c r="K31" t="str">
        <f t="shared" si="0"/>
        <v>Delta Travels</v>
      </c>
      <c r="L31" t="str">
        <f t="shared" si="1"/>
        <v>2026-03-06</v>
      </c>
      <c r="M31" t="str">
        <f t="shared" si="2"/>
        <v>failed_timeout</v>
      </c>
      <c r="N31" cm="1">
        <f t="array" ref="N31">IFERROR(VALUE(TRIM(MID(G31,MIN(IFERROR(FIND({0,1,2,3,4,5,6,7,8,9},G31),999)),LEN(G31)))),"")</f>
        <v>47</v>
      </c>
      <c r="O31" t="str">
        <f t="shared" si="3"/>
        <v>US</v>
      </c>
      <c r="P31">
        <f>IFERROR(ROUND(D31/VLOOKUP(E31,Exchange_Rates!$A:$B,2,0),2),"")</f>
        <v>1800</v>
      </c>
      <c r="Q31" t="str">
        <f>IFERROR(VLOOKUP(K31,Merchant_Master!$A:$D,2,0),"Unknown")</f>
        <v>Unknown</v>
      </c>
      <c r="R31">
        <f t="shared" si="4"/>
        <v>0</v>
      </c>
      <c r="S31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76F0-A2DF-4444-BBBB-60183C7CED45}">
  <dimension ref="A1:B19"/>
  <sheetViews>
    <sheetView workbookViewId="0">
      <selection activeCell="L4" sqref="L4"/>
    </sheetView>
  </sheetViews>
  <sheetFormatPr defaultRowHeight="14.4" x14ac:dyDescent="0.3"/>
  <cols>
    <col min="1" max="1" width="14.109375" customWidth="1"/>
    <col min="2" max="2" width="13.6640625" customWidth="1"/>
  </cols>
  <sheetData>
    <row r="1" spans="1:2" x14ac:dyDescent="0.3">
      <c r="A1" t="s">
        <v>4</v>
      </c>
      <c r="B1" t="s">
        <v>105</v>
      </c>
    </row>
    <row r="2" spans="1:2" x14ac:dyDescent="0.3">
      <c r="A2" t="s">
        <v>12</v>
      </c>
      <c r="B2">
        <v>1.1900000000000001E-2</v>
      </c>
    </row>
    <row r="3" spans="1:2" x14ac:dyDescent="0.3">
      <c r="A3" t="s">
        <v>83</v>
      </c>
      <c r="B3">
        <v>1.08</v>
      </c>
    </row>
    <row r="4" spans="1:2" x14ac:dyDescent="0.3">
      <c r="A4" t="s">
        <v>94</v>
      </c>
      <c r="B4">
        <v>1</v>
      </c>
    </row>
    <row r="5" spans="1:2" x14ac:dyDescent="0.3">
      <c r="A5" t="s">
        <v>12</v>
      </c>
      <c r="B5">
        <v>1.2E-2</v>
      </c>
    </row>
    <row r="6" spans="1:2" x14ac:dyDescent="0.3">
      <c r="A6" t="s">
        <v>83</v>
      </c>
      <c r="B6">
        <v>1.0900000000000001</v>
      </c>
    </row>
    <row r="7" spans="1:2" x14ac:dyDescent="0.3">
      <c r="A7" t="s">
        <v>94</v>
      </c>
      <c r="B7">
        <v>1</v>
      </c>
    </row>
    <row r="8" spans="1:2" x14ac:dyDescent="0.3">
      <c r="A8" t="s">
        <v>12</v>
      </c>
      <c r="B8">
        <v>1.21E-2</v>
      </c>
    </row>
    <row r="9" spans="1:2" x14ac:dyDescent="0.3">
      <c r="A9" t="s">
        <v>83</v>
      </c>
      <c r="B9">
        <v>1.08</v>
      </c>
    </row>
    <row r="10" spans="1:2" x14ac:dyDescent="0.3">
      <c r="A10" t="s">
        <v>94</v>
      </c>
      <c r="B10">
        <v>1</v>
      </c>
    </row>
    <row r="11" spans="1:2" x14ac:dyDescent="0.3">
      <c r="A11" t="s">
        <v>12</v>
      </c>
      <c r="B11">
        <v>1.2E-2</v>
      </c>
    </row>
    <row r="12" spans="1:2" x14ac:dyDescent="0.3">
      <c r="A12" t="s">
        <v>83</v>
      </c>
      <c r="B12">
        <v>1.07</v>
      </c>
    </row>
    <row r="13" spans="1:2" x14ac:dyDescent="0.3">
      <c r="A13" t="s">
        <v>94</v>
      </c>
      <c r="B13">
        <v>1</v>
      </c>
    </row>
    <row r="14" spans="1:2" x14ac:dyDescent="0.3">
      <c r="A14" t="s">
        <v>12</v>
      </c>
      <c r="B14">
        <v>1.18E-2</v>
      </c>
    </row>
    <row r="15" spans="1:2" x14ac:dyDescent="0.3">
      <c r="A15" t="s">
        <v>83</v>
      </c>
      <c r="B15">
        <v>1.0900000000000001</v>
      </c>
    </row>
    <row r="16" spans="1:2" x14ac:dyDescent="0.3">
      <c r="A16" t="s">
        <v>94</v>
      </c>
      <c r="B16">
        <v>1</v>
      </c>
    </row>
    <row r="17" spans="1:2" x14ac:dyDescent="0.3">
      <c r="A17" t="s">
        <v>12</v>
      </c>
      <c r="B17">
        <v>1.1900000000000001E-2</v>
      </c>
    </row>
    <row r="18" spans="1:2" x14ac:dyDescent="0.3">
      <c r="A18" t="s">
        <v>83</v>
      </c>
      <c r="B18">
        <v>1.08</v>
      </c>
    </row>
    <row r="19" spans="1:2" x14ac:dyDescent="0.3">
      <c r="A19" t="s">
        <v>94</v>
      </c>
      <c r="B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46E7-583E-4C55-BA36-D2E79BEBEFA3}">
  <dimension ref="A1:E6"/>
  <sheetViews>
    <sheetView workbookViewId="0">
      <selection sqref="A1:E6"/>
    </sheetView>
  </sheetViews>
  <sheetFormatPr defaultRowHeight="14.4" x14ac:dyDescent="0.3"/>
  <sheetData>
    <row r="1" spans="1:5" x14ac:dyDescent="0.3">
      <c r="A1" t="s">
        <v>106</v>
      </c>
      <c r="B1" t="s">
        <v>2</v>
      </c>
      <c r="C1" t="s">
        <v>107</v>
      </c>
      <c r="D1" t="s">
        <v>108</v>
      </c>
      <c r="E1" t="s">
        <v>109</v>
      </c>
    </row>
    <row r="2" spans="1:5" x14ac:dyDescent="0.3">
      <c r="A2" t="s">
        <v>110</v>
      </c>
      <c r="B2" t="s">
        <v>35</v>
      </c>
      <c r="C2" t="s">
        <v>111</v>
      </c>
      <c r="D2" t="s">
        <v>112</v>
      </c>
      <c r="E2" t="s">
        <v>15</v>
      </c>
    </row>
    <row r="3" spans="1:5" x14ac:dyDescent="0.3">
      <c r="A3" t="s">
        <v>113</v>
      </c>
      <c r="B3" t="s">
        <v>49</v>
      </c>
      <c r="C3" t="s">
        <v>114</v>
      </c>
      <c r="D3" t="s">
        <v>115</v>
      </c>
      <c r="E3" t="s">
        <v>15</v>
      </c>
    </row>
    <row r="4" spans="1:5" x14ac:dyDescent="0.3">
      <c r="A4" t="s">
        <v>116</v>
      </c>
      <c r="B4" t="s">
        <v>82</v>
      </c>
      <c r="C4" t="s">
        <v>117</v>
      </c>
      <c r="D4" t="s">
        <v>118</v>
      </c>
      <c r="E4" t="s">
        <v>88</v>
      </c>
    </row>
    <row r="5" spans="1:5" x14ac:dyDescent="0.3">
      <c r="A5" t="s">
        <v>119</v>
      </c>
      <c r="B5" t="s">
        <v>97</v>
      </c>
      <c r="C5" t="s">
        <v>120</v>
      </c>
      <c r="D5" t="s">
        <v>121</v>
      </c>
      <c r="E5" t="s">
        <v>99</v>
      </c>
    </row>
    <row r="6" spans="1:5" x14ac:dyDescent="0.3">
      <c r="A6" t="s">
        <v>122</v>
      </c>
      <c r="B6" t="s">
        <v>86</v>
      </c>
      <c r="C6" t="s">
        <v>123</v>
      </c>
      <c r="D6" t="s">
        <v>124</v>
      </c>
      <c r="E6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279C-95D7-466E-8660-8617FD330B71}">
  <dimension ref="A1:J31"/>
  <sheetViews>
    <sheetView topLeftCell="A16" workbookViewId="0">
      <selection activeCell="H34" sqref="H3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</row>
    <row r="4" spans="1:10" x14ac:dyDescent="0.3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</row>
    <row r="5" spans="1:10" x14ac:dyDescent="0.3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</row>
    <row r="6" spans="1:10" x14ac:dyDescent="0.3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</row>
    <row r="7" spans="1:10" x14ac:dyDescent="0.3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</row>
    <row r="8" spans="1:10" x14ac:dyDescent="0.3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</row>
    <row r="9" spans="1:10" x14ac:dyDescent="0.3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</row>
    <row r="10" spans="1:10" x14ac:dyDescent="0.3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</row>
    <row r="11" spans="1:10" x14ac:dyDescent="0.3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</row>
    <row r="12" spans="1:10" x14ac:dyDescent="0.3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</row>
    <row r="13" spans="1:10" x14ac:dyDescent="0.3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</row>
    <row r="14" spans="1:10" x14ac:dyDescent="0.3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</row>
    <row r="15" spans="1:10" x14ac:dyDescent="0.3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</row>
    <row r="16" spans="1:10" x14ac:dyDescent="0.3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</row>
    <row r="17" spans="1:10" x14ac:dyDescent="0.3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</row>
    <row r="18" spans="1:10" x14ac:dyDescent="0.3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</row>
    <row r="19" spans="1:10" x14ac:dyDescent="0.3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</row>
    <row r="20" spans="1:10" x14ac:dyDescent="0.3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</row>
    <row r="21" spans="1:10" x14ac:dyDescent="0.3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</row>
    <row r="22" spans="1:10" x14ac:dyDescent="0.3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</row>
    <row r="23" spans="1:10" x14ac:dyDescent="0.3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</row>
    <row r="24" spans="1:10" x14ac:dyDescent="0.3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</row>
    <row r="25" spans="1:10" x14ac:dyDescent="0.3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</row>
    <row r="26" spans="1:10" x14ac:dyDescent="0.3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</row>
    <row r="27" spans="1:10" x14ac:dyDescent="0.3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</row>
    <row r="28" spans="1:10" x14ac:dyDescent="0.3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</row>
    <row r="29" spans="1:10" x14ac:dyDescent="0.3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</row>
    <row r="30" spans="1:10" x14ac:dyDescent="0.3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</row>
    <row r="31" spans="1:10" x14ac:dyDescent="0.3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merchant_risk_summary</vt:lpstr>
      <vt:lpstr>cleaned_transactions</vt:lpstr>
      <vt:lpstr>Exchange_Rates</vt:lpstr>
      <vt:lpstr>Merchant_Master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 Tarmale</cp:lastModifiedBy>
  <dcterms:created xsi:type="dcterms:W3CDTF">2026-04-27T04:50:03Z</dcterms:created>
  <dcterms:modified xsi:type="dcterms:W3CDTF">2026-04-27T15:18:58Z</dcterms:modified>
</cp:coreProperties>
</file>